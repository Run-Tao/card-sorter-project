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汇总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采购渠道" sheetId="3" state="visible" r:id="rId3"/>
    <sheet xmlns:r="http://schemas.openxmlformats.org/officeDocument/2006/relationships" name="价格说明" sheetId="4" state="visible" r:id="rId4"/>
  </sheets>
  <definedNames>
    <definedName name="_xlnm._FilterDatabase" localSheetId="1" hidden="1">'BOM'!$A$2:$L$45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7F7F7F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A33A2E"/>
      <sz val="11"/>
    </font>
  </fonts>
  <fills count="5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E2F0E4"/>
      </patternFill>
    </fill>
    <fill>
      <patternFill patternType="solid">
        <fgColor rgb="00FBEB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right"/>
    </xf>
    <xf numFmtId="0" fontId="0" fillId="0" borderId="1" pivotButton="0" quotePrefix="0" xfId="0"/>
    <xf numFmtId="164" fontId="5" fillId="0" borderId="1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2" customWidth="1" min="4" max="4"/>
  </cols>
  <sheetData>
    <row r="2">
      <c r="B2" s="1" t="inlineStr">
        <is>
          <t>无标记扑克牌自动分拣机 — BOM 与预算表</t>
        </is>
      </c>
    </row>
    <row r="3">
      <c r="B3" s="2" t="inlineStr">
        <is>
          <t>价格口径：2026-10-19 中国市场检索，区间中值/估算；采购前必须复核</t>
        </is>
      </c>
    </row>
    <row r="5">
      <c r="A5" s="3" t="inlineStr">
        <is>
          <t>序号</t>
        </is>
      </c>
      <c r="B5" s="3" t="inlineStr">
        <is>
          <t>项目</t>
        </is>
      </c>
      <c r="C5" s="3" t="inlineStr">
        <is>
          <t>金额（元）</t>
        </is>
      </c>
      <c r="D5" s="3" t="inlineStr">
        <is>
          <t>说明</t>
        </is>
      </c>
    </row>
    <row r="6">
      <c r="A6" s="4" t="inlineStr">
        <is>
          <t>1</t>
        </is>
      </c>
      <c r="B6" s="5" t="inlineStr">
        <is>
          <t>必需项合计（A01–A42）</t>
        </is>
      </c>
      <c r="C6" s="6">
        <f>SUMIF(BOM!$I$3:$I$80,"是",BOM!$H$3:$H$80)</f>
        <v/>
      </c>
      <c r="D6" s="7" t="inlineStr">
        <is>
          <t>不做会卡住验收</t>
        </is>
      </c>
    </row>
    <row r="7">
      <c r="A7" s="4" t="inlineStr">
        <is>
          <t>2</t>
        </is>
      </c>
      <c r="B7" s="5" t="inlineStr">
        <is>
          <t>建议项合计（不计可选）</t>
        </is>
      </c>
      <c r="C7" s="6">
        <f>SUMIF(BOM!$I$3:$I$80,"建议",BOM!$H$3:$H$80)</f>
        <v/>
      </c>
      <c r="D7" s="7" t="inlineStr">
        <is>
          <t>PETG 标为可选，不计入</t>
        </is>
      </c>
    </row>
    <row r="8">
      <c r="A8" s="4" t="inlineStr">
        <is>
          <t>3</t>
        </is>
      </c>
      <c r="B8" s="5" t="inlineStr">
        <is>
          <t>工程小计</t>
        </is>
      </c>
      <c r="C8" s="8">
        <f>C6+C7</f>
        <v/>
      </c>
      <c r="D8" s="7" t="inlineStr">
        <is>
          <t>必需 + 建议</t>
        </is>
      </c>
    </row>
    <row r="9">
      <c r="A9" s="4" t="inlineStr">
        <is>
          <t>4</t>
        </is>
      </c>
      <c r="B9" s="5" t="inlineStr">
        <is>
          <t>返工/耗材余量（12%）</t>
        </is>
      </c>
      <c r="C9" s="6">
        <f>ROUND(C8*0.12,0)</f>
        <v/>
      </c>
      <c r="D9" s="7" t="inlineStr">
        <is>
          <t>3D 打印失败、螺丝线材损耗、补购运费</t>
        </is>
      </c>
    </row>
    <row r="10">
      <c r="A10" s="4" t="inlineStr">
        <is>
          <t>5</t>
        </is>
      </c>
      <c r="B10" s="5" t="inlineStr">
        <is>
          <t>应急备件</t>
        </is>
      </c>
      <c r="C10" s="6" t="n">
        <v>20</v>
      </c>
      <c r="D10" s="7" t="inlineStr">
        <is>
          <t>备用 MG90S 2 + 线材/端子；相机故障时改单相机降级模式</t>
        </is>
      </c>
    </row>
    <row r="11">
      <c r="A11" s="4" t="inlineStr">
        <is>
          <t>6</t>
        </is>
      </c>
      <c r="B11" s="5" t="inlineStr">
        <is>
          <t>合计</t>
        </is>
      </c>
      <c r="C11" s="8">
        <f>C8+C9+C10</f>
        <v/>
      </c>
      <c r="D11" s="7" t="inlineStr">
        <is>
          <t>含余量与备件</t>
        </is>
      </c>
    </row>
    <row r="12">
      <c r="A12" s="4" t="inlineStr">
        <is>
          <t>7</t>
        </is>
      </c>
      <c r="B12" s="5" t="inlineStr">
        <is>
          <t>预算上限</t>
        </is>
      </c>
      <c r="C12" s="6" t="n">
        <v>1000</v>
      </c>
      <c r="D12" s="7" t="inlineStr">
        <is>
          <t>课程项目预算</t>
        </is>
      </c>
    </row>
    <row r="13">
      <c r="A13" s="4" t="inlineStr">
        <is>
          <t>8</t>
        </is>
      </c>
      <c r="B13" s="5" t="inlineStr">
        <is>
          <t>预算余额</t>
        </is>
      </c>
      <c r="C13" s="8">
        <f>C12-C11</f>
        <v/>
      </c>
      <c r="D13" s="7" t="inlineStr">
        <is>
          <t>建议不低于 50 元</t>
        </is>
      </c>
    </row>
    <row r="17">
      <c r="B17" s="9" t="inlineStr">
        <is>
          <t>风险提示</t>
        </is>
      </c>
    </row>
    <row r="18">
      <c r="B18" s="2" t="inlineStr">
        <is>
          <t>• 约 55% 条目为区间估算（淘宝/京东反爬），下单前用“到手价”复核；</t>
        </is>
      </c>
    </row>
    <row r="19">
      <c r="B19" s="2" t="inlineStr">
        <is>
          <t>• 相机必须支持 MJPG，否则 1080p 双路带宽不足；</t>
        </is>
      </c>
    </row>
    <row r="20">
      <c r="B20" s="2" t="inlineStr">
        <is>
          <t>• 舵机独立 5V/3A 供电，电机与逻辑单点共地；</t>
        </is>
      </c>
    </row>
    <row r="21">
      <c r="B21" s="2" t="inlineStr">
        <is>
          <t>• 3D 打印件先打小样，热熔铜螺母孔留 0.1–0.2 mm 余量；</t>
        </is>
      </c>
    </row>
    <row r="22">
      <c r="B22" s="2" t="inlineStr">
        <is>
          <t>• 若学校提供耗材/切割/工具，可再省 120–150 元。</t>
        </is>
      </c>
    </row>
  </sheetData>
  <mergeCells count="6">
    <mergeCell ref="B19:D19"/>
    <mergeCell ref="B22:D22"/>
    <mergeCell ref="B18:D18"/>
    <mergeCell ref="B21:D21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24" customWidth="1" min="5" max="5"/>
    <col width="7" customWidth="1" min="6" max="6"/>
    <col width="10" customWidth="1" min="7" max="7"/>
    <col width="10" customWidth="1" min="8" max="8"/>
    <col width="10" customWidth="1" min="9" max="9"/>
    <col width="26" customWidth="1" min="10" max="10"/>
    <col width="40" customWidth="1" min="11" max="11"/>
    <col width="20" customWidth="1" min="12" max="12"/>
  </cols>
  <sheetData>
    <row r="1">
      <c r="A1" s="10" t="inlineStr">
        <is>
          <t>BOM 明细（自动求和；单价为 2026-10-19 估算中值，采购前复核）</t>
        </is>
      </c>
    </row>
    <row r="2" ht="30" customHeight="1">
      <c r="A2" s="11" t="inlineStr">
        <is>
          <t>编号</t>
        </is>
      </c>
      <c r="B2" s="11" t="inlineStr">
        <is>
          <t>类别</t>
        </is>
      </c>
      <c r="C2" s="11" t="inlineStr">
        <is>
          <t>部件</t>
        </is>
      </c>
      <c r="D2" s="11" t="inlineStr">
        <is>
          <t>建议规格</t>
        </is>
      </c>
      <c r="E2" s="11" t="inlineStr">
        <is>
          <t>功能 / 用途</t>
        </is>
      </c>
      <c r="F2" s="11" t="inlineStr">
        <is>
          <t>数量</t>
        </is>
      </c>
      <c r="G2" s="11" t="inlineStr">
        <is>
          <t>单价（元）</t>
        </is>
      </c>
      <c r="H2" s="11" t="inlineStr">
        <is>
          <t>小计（元）</t>
        </is>
      </c>
      <c r="I2" s="11" t="inlineStr">
        <is>
          <t>必需/建议</t>
        </is>
      </c>
      <c r="J2" s="11" t="inlineStr">
        <is>
          <t>可替代型号</t>
        </is>
      </c>
      <c r="K2" s="11" t="inlineStr">
        <is>
          <t>采购注意</t>
        </is>
      </c>
      <c r="L2" s="11" t="inlineStr">
        <is>
          <t>价格依据</t>
        </is>
      </c>
    </row>
    <row r="3">
      <c r="A3" s="12" t="inlineStr">
        <is>
          <t>A01</t>
        </is>
      </c>
      <c r="B3" s="13" t="inlineStr">
        <is>
          <t>控制与视觉</t>
        </is>
      </c>
      <c r="C3" s="13" t="inlineStr">
        <is>
          <t>ESP32-S3 开发板</t>
        </is>
      </c>
      <c r="D3" s="13" t="inlineStr">
        <is>
          <t>ESP32-S3-DevKitC-1 / N16R8，USB-C</t>
        </is>
      </c>
      <c r="E3" s="13" t="inlineStr">
        <is>
          <t>运动控制、串口、PWM</t>
        </is>
      </c>
      <c r="F3" s="12" t="n">
        <v>1</v>
      </c>
      <c r="G3" s="14" t="n">
        <v>45</v>
      </c>
      <c r="H3" s="14">
        <f>F3*G3</f>
        <v/>
      </c>
      <c r="I3" s="15" t="inlineStr">
        <is>
          <t>是</t>
        </is>
      </c>
      <c r="J3" s="13" t="inlineStr">
        <is>
          <t>ESP32-S3-Zero、立创 S3R8N8</t>
        </is>
      </c>
      <c r="K3" s="13" t="inlineStr">
        <is>
          <t>认准 USB 下载正常、GPIO 引出完整；S3 的 GPIO26–37 常被 Flash/PSRAM 占用</t>
        </is>
      </c>
      <c r="L3" s="13" t="inlineStr">
        <is>
          <t>2026-10 估算/区间中值</t>
        </is>
      </c>
    </row>
    <row r="4">
      <c r="A4" s="12" t="inlineStr">
        <is>
          <t>A02</t>
        </is>
      </c>
      <c r="B4" s="13" t="inlineStr">
        <is>
          <t>控制与视觉</t>
        </is>
      </c>
      <c r="C4" s="13" t="inlineStr">
        <is>
          <t>USB 摄像头</t>
        </is>
      </c>
      <c r="D4" s="13" t="inlineStr">
        <is>
          <t>1080p、UVC、**支持 MJPG**、M12 可调焦/可换镜头优先</t>
        </is>
      </c>
      <c r="E4" s="13" t="inlineStr">
        <is>
          <t>上/下双面拍摄</t>
        </is>
      </c>
      <c r="F4" s="12" t="n">
        <v>2</v>
      </c>
      <c r="G4" s="14" t="n">
        <v>65</v>
      </c>
      <c r="H4" s="14">
        <f>F4*G4</f>
        <v/>
      </c>
      <c r="I4" s="15" t="inlineStr">
        <is>
          <t>是</t>
        </is>
      </c>
      <c r="J4" s="13" t="inlineStr">
        <is>
          <t>罗技 C270/C310 二手、工业 UVC 模组、5MP 模组</t>
        </is>
      </c>
      <c r="K4" s="13" t="inlineStr">
        <is>
          <t>**必须实测 MJPG 与真实分辨率**；买同型号两套，减少色彩差异；广角固定镜头（2.9 mm）视场过大/畸变大，优先 6 mm M12 镜头（镜头另计约 15–25 元/个）</t>
        </is>
      </c>
      <c r="L4" s="13" t="inlineStr">
        <is>
          <t>2026-10 估算/区间中值</t>
        </is>
      </c>
    </row>
    <row r="5">
      <c r="A5" s="12" t="inlineStr">
        <is>
          <t>A03</t>
        </is>
      </c>
      <c r="B5" s="13" t="inlineStr">
        <is>
          <t>控制与视觉</t>
        </is>
      </c>
      <c r="C5" s="13" t="inlineStr">
        <is>
          <t>有源 USB HUB</t>
        </is>
      </c>
      <c r="D5" s="13" t="inlineStr">
        <is>
          <t>USB2.0 有源 4 口，带 5V 供电</t>
        </is>
      </c>
      <c r="E5" s="13" t="inlineStr">
        <is>
          <t>双相机 + ESP32 接入</t>
        </is>
      </c>
      <c r="F5" s="12" t="n">
        <v>1</v>
      </c>
      <c r="G5" s="14" t="n">
        <v>35</v>
      </c>
      <c r="H5" s="14">
        <f>F5*G5</f>
        <v/>
      </c>
      <c r="I5" s="15" t="inlineStr">
        <is>
          <t>是</t>
        </is>
      </c>
      <c r="J5" s="13" t="inlineStr">
        <is>
          <t>USB3.0 有源 HUB</t>
        </is>
      </c>
      <c r="K5" s="13" t="inlineStr">
        <is>
          <t>不要用无源 HUB；相机接 HUB，控制器直插主机</t>
        </is>
      </c>
      <c r="L5" s="13" t="inlineStr">
        <is>
          <t>2026-10 估算/区间中值</t>
        </is>
      </c>
    </row>
    <row r="6">
      <c r="A6" s="12" t="inlineStr">
        <is>
          <t>A04</t>
        </is>
      </c>
      <c r="B6" s="13" t="inlineStr">
        <is>
          <t>控制与视觉</t>
        </is>
      </c>
      <c r="C6" s="13" t="inlineStr">
        <is>
          <t>USB 延长线</t>
        </is>
      </c>
      <c r="D6" s="13" t="inlineStr">
        <is>
          <t>3 m 屏蔽 A 公–A 母</t>
        </is>
      </c>
      <c r="E6" s="13" t="inlineStr">
        <is>
          <t>相机布线</t>
        </is>
      </c>
      <c r="F6" s="12" t="n">
        <v>2</v>
      </c>
      <c r="G6" s="14" t="n">
        <v>12</v>
      </c>
      <c r="H6" s="14">
        <f>F6*G6</f>
        <v/>
      </c>
      <c r="I6" s="15" t="inlineStr">
        <is>
          <t>是</t>
        </is>
      </c>
      <c r="J6" s="13" t="inlineStr">
        <is>
          <t>5 m 有源延长线</t>
        </is>
      </c>
      <c r="K6" s="13" t="inlineStr">
        <is>
          <t>超过 3 m 用有源线，否则掉帧/掉设备</t>
        </is>
      </c>
      <c r="L6" s="13" t="inlineStr">
        <is>
          <t>2026-10 估算/区间中值</t>
        </is>
      </c>
    </row>
    <row r="7">
      <c r="A7" s="12" t="inlineStr">
        <is>
          <t>A05</t>
        </is>
      </c>
      <c r="B7" s="13" t="inlineStr">
        <is>
          <t>控制与视觉</t>
        </is>
      </c>
      <c r="C7" s="13" t="inlineStr">
        <is>
          <t>相机支架</t>
        </is>
      </c>
      <c r="D7" s="13" t="inlineStr">
        <is>
          <t>1/4" 球头 + 高度可调（可 3D 打印）</t>
        </is>
      </c>
      <c r="E7" s="13" t="inlineStr">
        <is>
          <t>相机定位</t>
        </is>
      </c>
      <c r="F7" s="12" t="n">
        <v>2</v>
      </c>
      <c r="G7" s="14" t="n">
        <v>10</v>
      </c>
      <c r="H7" s="14">
        <f>F7*G7</f>
        <v/>
      </c>
      <c r="I7" s="15" t="inlineStr">
        <is>
          <t>是</t>
        </is>
      </c>
      <c r="J7" s="13" t="inlineStr">
        <is>
          <t>3D 打印 + M4 螺丝</t>
        </is>
      </c>
      <c r="K7" s="13" t="inlineStr">
        <is>
          <t>必须能锁死，避免相机移位</t>
        </is>
      </c>
      <c r="L7" s="13" t="inlineStr">
        <is>
          <t>2026-10 估算/区间中值</t>
        </is>
      </c>
    </row>
    <row r="8">
      <c r="A8" s="12" t="inlineStr">
        <is>
          <t>A06</t>
        </is>
      </c>
      <c r="B8" s="13" t="inlineStr">
        <is>
          <t>执行器</t>
        </is>
      </c>
      <c r="C8" s="13" t="inlineStr">
        <is>
          <t>28BYJ-48 + ULN2003</t>
        </is>
      </c>
      <c r="D8" s="13" t="inlineStr">
        <is>
          <t>5V 四相步进，1/64 减速</t>
        </is>
      </c>
      <c r="E8" s="13" t="inlineStr">
        <is>
          <t>出口输送辊（轻载）</t>
        </is>
      </c>
      <c r="F8" s="12" t="n">
        <v>1</v>
      </c>
      <c r="G8" s="14" t="n">
        <v>10</v>
      </c>
      <c r="H8" s="14">
        <f>F8*G8</f>
        <v/>
      </c>
      <c r="I8" s="15" t="inlineStr">
        <is>
          <t>是</t>
        </is>
      </c>
      <c r="J8" s="13" t="inlineStr">
        <is>
          <t>28BYJ-48 单买 + ULN2003 模块</t>
        </is>
      </c>
      <c r="K8" s="13" t="inlineStr">
        <is>
          <t>**扭矩不足，不可驱动取纸轮**（见 7.4）；仅用于出口辊/挡板</t>
        </is>
      </c>
      <c r="L8" s="13" t="inlineStr">
        <is>
          <t>2026-10 估算/区间中值</t>
        </is>
      </c>
    </row>
    <row r="9">
      <c r="A9" s="12" t="inlineStr">
        <is>
          <t>A07</t>
        </is>
      </c>
      <c r="B9" s="13" t="inlineStr">
        <is>
          <t>执行器</t>
        </is>
      </c>
      <c r="C9" s="13" t="inlineStr">
        <is>
          <t>NEMA17 步进电机</t>
        </is>
      </c>
      <c r="D9" s="13" t="inlineStr">
        <is>
          <t>42BYGH，1.8°，1.5–2 A，40 mm</t>
        </is>
      </c>
      <c r="E9" s="13" t="inlineStr">
        <is>
          <t>进牌/输送主驱动</t>
        </is>
      </c>
      <c r="F9" s="12" t="n">
        <v>1</v>
      </c>
      <c r="G9" s="14" t="n">
        <v>38</v>
      </c>
      <c r="H9" s="14">
        <f>F9*G9</f>
        <v/>
      </c>
      <c r="I9" s="15" t="inlineStr">
        <is>
          <t>是</t>
        </is>
      </c>
      <c r="J9" s="13" t="inlineStr">
        <is>
          <t>**N20 6V 100:1 减速电机 + 2:1 同步带**（更轻、更省，需 PWM 调速）、42 闭环步进</t>
        </is>
      </c>
      <c r="K9" s="13" t="inlineStr">
        <is>
          <t>注意轴径 5 mm/D 型与联轴器匹配；本 BOM 选 NEMA17 是为了用步进做可重复定位，代价是重量/体积/成本略高</t>
        </is>
      </c>
      <c r="L9" s="13" t="inlineStr">
        <is>
          <t>2026-10 估算/区间中值</t>
        </is>
      </c>
    </row>
    <row r="10">
      <c r="A10" s="12" t="inlineStr">
        <is>
          <t>A08</t>
        </is>
      </c>
      <c r="B10" s="13" t="inlineStr">
        <is>
          <t>执行器</t>
        </is>
      </c>
      <c r="C10" s="13" t="inlineStr">
        <is>
          <t>步进驱动器</t>
        </is>
      </c>
      <c r="D10" s="13" t="inlineStr">
        <is>
          <t>A4988 或 DRV8825</t>
        </is>
      </c>
      <c r="E10" s="13" t="inlineStr">
        <is>
          <t>驱动 NEMA17</t>
        </is>
      </c>
      <c r="F10" s="12" t="n">
        <v>1</v>
      </c>
      <c r="G10" s="14" t="n">
        <v>8</v>
      </c>
      <c r="H10" s="14">
        <f>F10*G10</f>
        <v/>
      </c>
      <c r="I10" s="15" t="inlineStr">
        <is>
          <t>是</t>
        </is>
      </c>
      <c r="J10" s="13" t="inlineStr">
        <is>
          <t>TB6600（更稳、更贵）、TMC2208（静音）</t>
        </is>
      </c>
      <c r="K10" s="13" t="inlineStr">
        <is>
          <t>加散热片；Vref 调到电机额定电流 70%</t>
        </is>
      </c>
      <c r="L10" s="13" t="inlineStr">
        <is>
          <t>2026-10 估算/区间中值</t>
        </is>
      </c>
    </row>
    <row r="11">
      <c r="A11" s="12" t="inlineStr">
        <is>
          <t>A09</t>
        </is>
      </c>
      <c r="B11" s="13" t="inlineStr">
        <is>
          <t>执行器</t>
        </is>
      </c>
      <c r="C11" s="13" t="inlineStr">
        <is>
          <t>大扭矩舵机</t>
        </is>
      </c>
      <c r="D11" s="13" t="inlineStr">
        <is>
          <t>MG996R 金属齿，180°</t>
        </is>
      </c>
      <c r="E11" s="13" t="inlineStr">
        <is>
          <t>摆动滑槽分流</t>
        </is>
      </c>
      <c r="F11" s="12" t="n">
        <v>1</v>
      </c>
      <c r="G11" s="14" t="n">
        <v>15</v>
      </c>
      <c r="H11" s="14">
        <f>F11*G11</f>
        <v/>
      </c>
      <c r="I11" s="15" t="inlineStr">
        <is>
          <t>是</t>
        </is>
      </c>
      <c r="J11" s="13" t="inlineStr">
        <is>
          <t>MG995、DS3218</t>
        </is>
      </c>
      <c r="K11" s="13" t="inlineStr">
        <is>
          <t>堵转电流大，必须独立 5V/3A 供电</t>
        </is>
      </c>
      <c r="L11" s="13" t="inlineStr">
        <is>
          <t>2026-10 估算/区间中值</t>
        </is>
      </c>
    </row>
    <row r="12">
      <c r="A12" s="12" t="inlineStr">
        <is>
          <t>A10</t>
        </is>
      </c>
      <c r="B12" s="13" t="inlineStr">
        <is>
          <t>执行器</t>
        </is>
      </c>
      <c r="C12" s="13" t="inlineStr">
        <is>
          <t>小舵机</t>
        </is>
      </c>
      <c r="D12" s="13" t="inlineStr">
        <is>
          <t>MG90S 金属齿（优于 SG90）</t>
        </is>
      </c>
      <c r="E12" s="13" t="inlineStr">
        <is>
          <t>限位门/挡板</t>
        </is>
      </c>
      <c r="F12" s="12" t="n">
        <v>2</v>
      </c>
      <c r="G12" s="14" t="n">
        <v>5</v>
      </c>
      <c r="H12" s="14">
        <f>F12*G12</f>
        <v/>
      </c>
      <c r="I12" s="15" t="inlineStr">
        <is>
          <t>是</t>
        </is>
      </c>
      <c r="J12" s="13" t="inlineStr">
        <is>
          <t>SG90（塑料齿，易扫齿）</t>
        </is>
      </c>
      <c r="K12" s="13" t="inlineStr">
        <is>
          <t>同样避免与逻辑共用电源</t>
        </is>
      </c>
      <c r="L12" s="13" t="inlineStr">
        <is>
          <t>2026-10 估算/区间中值</t>
        </is>
      </c>
    </row>
    <row r="13">
      <c r="A13" s="12" t="inlineStr">
        <is>
          <t>A11</t>
        </is>
      </c>
      <c r="B13" s="13" t="inlineStr">
        <is>
          <t>传感器</t>
        </is>
      </c>
      <c r="C13" s="13" t="inlineStr">
        <is>
          <t>红外反射模块</t>
        </is>
      </c>
      <c r="D13" s="13" t="inlineStr">
        <is>
          <t>TCRT5000 模块，DO/AO</t>
        </is>
      </c>
      <c r="E13" s="13" t="inlineStr">
        <is>
          <t>到位/缺牌</t>
        </is>
      </c>
      <c r="F13" s="12" t="n">
        <v>4</v>
      </c>
      <c r="G13" s="14" t="n">
        <v>2</v>
      </c>
      <c r="H13" s="14">
        <f>F13*G13</f>
        <v/>
      </c>
      <c r="I13" s="15" t="inlineStr">
        <is>
          <t>是</t>
        </is>
      </c>
      <c r="J13" s="13" t="inlineStr">
        <is>
          <t>ITR20001、E18-D80NK</t>
        </is>
      </c>
      <c r="K13" s="13" t="inlineStr">
        <is>
          <t>DO 输出 5V，接 ESP32 需分压/电平转换</t>
        </is>
      </c>
      <c r="L13" s="13" t="inlineStr">
        <is>
          <t>2026-10 估算/区间中值</t>
        </is>
      </c>
    </row>
    <row r="14">
      <c r="A14" s="12" t="inlineStr">
        <is>
          <t>A12</t>
        </is>
      </c>
      <c r="B14" s="13" t="inlineStr">
        <is>
          <t>传感器</t>
        </is>
      </c>
      <c r="C14" s="13" t="inlineStr">
        <is>
          <t>槽型光耦</t>
        </is>
      </c>
      <c r="D14" s="13" t="inlineStr">
        <is>
          <t>ITR9608/ITR9606，5 mm 槽</t>
        </is>
      </c>
      <c r="E14" s="13" t="inlineStr">
        <is>
          <t>进牌计数、双张检测</t>
        </is>
      </c>
      <c r="F14" s="12" t="n">
        <v>2</v>
      </c>
      <c r="G14" s="14" t="n">
        <v>2</v>
      </c>
      <c r="H14" s="14">
        <f>F14*G14</f>
        <v/>
      </c>
      <c r="I14" s="15" t="inlineStr">
        <is>
          <t>是</t>
        </is>
      </c>
      <c r="J14" s="13" t="inlineStr">
        <is>
          <t>EE-SX670</t>
        </is>
      </c>
      <c r="K14" s="13" t="inlineStr">
        <is>
          <t>槽宽 3–5 mm，需机械导向配合</t>
        </is>
      </c>
      <c r="L14" s="13" t="inlineStr">
        <is>
          <t>2026-10 估算/区间中值</t>
        </is>
      </c>
    </row>
    <row r="15">
      <c r="A15" s="12" t="inlineStr">
        <is>
          <t>A13</t>
        </is>
      </c>
      <c r="B15" s="13" t="inlineStr">
        <is>
          <t>传感器</t>
        </is>
      </c>
      <c r="C15" s="13" t="inlineStr">
        <is>
          <t>微动开关</t>
        </is>
      </c>
      <c r="D15" s="13" t="inlineStr">
        <is>
          <t>3 脚带柄，5 A</t>
        </is>
      </c>
      <c r="E15" s="13" t="inlineStr">
        <is>
          <t>机械限位/门到位</t>
        </is>
      </c>
      <c r="F15" s="12" t="n">
        <v>4</v>
      </c>
      <c r="G15" s="14" t="n">
        <v>1.2</v>
      </c>
      <c r="H15" s="14">
        <f>F15*G15</f>
        <v/>
      </c>
      <c r="I15" s="15" t="inlineStr">
        <is>
          <t>是</t>
        </is>
      </c>
      <c r="J15" s="13" t="inlineStr">
        <is>
          <t>光电限位</t>
        </is>
      </c>
      <c r="K15" s="13" t="inlineStr">
        <is>
          <t>优先光电/霍尔，微动寿命与抖动较差</t>
        </is>
      </c>
      <c r="L15" s="13" t="inlineStr">
        <is>
          <t>2026-10 估算/区间中值</t>
        </is>
      </c>
    </row>
    <row r="16">
      <c r="A16" s="12" t="inlineStr">
        <is>
          <t>A14</t>
        </is>
      </c>
      <c r="B16" s="13" t="inlineStr">
        <is>
          <t>传感器</t>
        </is>
      </c>
      <c r="C16" s="13" t="inlineStr">
        <is>
          <t>对射光电</t>
        </is>
      </c>
      <c r="D16" s="13" t="inlineStr">
        <is>
          <t>E18-D80NK，5V NPN</t>
        </is>
      </c>
      <c r="E16" s="13" t="inlineStr">
        <is>
          <t>牌仓有无牌</t>
        </is>
      </c>
      <c r="F16" s="12" t="n">
        <v>1</v>
      </c>
      <c r="G16" s="14" t="n">
        <v>5</v>
      </c>
      <c r="H16" s="14">
        <f>F16*G16</f>
        <v/>
      </c>
      <c r="I16" s="15" t="inlineStr">
        <is>
          <t>是</t>
        </is>
      </c>
      <c r="J16" s="13" t="inlineStr">
        <is>
          <t>槽型光耦 + 反射片</t>
        </is>
      </c>
      <c r="K16" s="13" t="inlineStr">
        <is>
          <t>注意 NPN 输出电平与上拉</t>
        </is>
      </c>
      <c r="L16" s="13" t="inlineStr">
        <is>
          <t>2026-10 估算/区间中值</t>
        </is>
      </c>
    </row>
    <row r="17">
      <c r="A17" s="12" t="inlineStr">
        <is>
          <t>A15</t>
        </is>
      </c>
      <c r="B17" s="13" t="inlineStr">
        <is>
          <t>电源与安全</t>
        </is>
      </c>
      <c r="C17" s="13" t="inlineStr">
        <is>
          <t>12V 开关电源</t>
        </is>
      </c>
      <c r="D17" s="13" t="inlineStr">
        <is>
          <t>12V/5A（60 W），带端子</t>
        </is>
      </c>
      <c r="E17" s="13" t="inlineStr">
        <is>
          <t>步进电机/主电源</t>
        </is>
      </c>
      <c r="F17" s="12" t="n">
        <v>1</v>
      </c>
      <c r="G17" s="14" t="n">
        <v>48</v>
      </c>
      <c r="H17" s="14">
        <f>F17*G17</f>
        <v/>
      </c>
      <c r="I17" s="15" t="inlineStr">
        <is>
          <t>是</t>
        </is>
      </c>
      <c r="J17" s="13" t="inlineStr">
        <is>
          <t>明纬 LRS-50-12、12V/3A</t>
        </is>
      </c>
      <c r="K17" s="13" t="inlineStr">
        <is>
          <t>认准 3C；负载按 60–70% 预留</t>
        </is>
      </c>
      <c r="L17" s="13" t="inlineStr">
        <is>
          <t>2026-10 估算/区间中值</t>
        </is>
      </c>
    </row>
    <row r="18">
      <c r="A18" s="12" t="inlineStr">
        <is>
          <t>A16</t>
        </is>
      </c>
      <c r="B18" s="13" t="inlineStr">
        <is>
          <t>电源与安全</t>
        </is>
      </c>
      <c r="C18" s="13" t="inlineStr">
        <is>
          <t>降压模块</t>
        </is>
      </c>
      <c r="D18" s="13" t="inlineStr">
        <is>
          <t>LM2596 可调（实际 ≤1.5 A）</t>
        </is>
      </c>
      <c r="E18" s="13" t="inlineStr">
        <is>
          <t>12V→5V 逻辑</t>
        </is>
      </c>
      <c r="F18" s="12" t="n">
        <v>2</v>
      </c>
      <c r="G18" s="14" t="n">
        <v>4</v>
      </c>
      <c r="H18" s="14">
        <f>F18*G18</f>
        <v/>
      </c>
      <c r="I18" s="15" t="inlineStr">
        <is>
          <t>是</t>
        </is>
      </c>
      <c r="J18" s="13" t="inlineStr">
        <is>
          <t>MP1584、XL4015</t>
        </is>
      </c>
      <c r="K18" s="13" t="inlineStr">
        <is>
          <t>输出加 470 µF；逻辑负载别超 1 A</t>
        </is>
      </c>
      <c r="L18" s="13" t="inlineStr">
        <is>
          <t>2026-10 估算/区间中值</t>
        </is>
      </c>
    </row>
    <row r="19">
      <c r="A19" s="12" t="inlineStr">
        <is>
          <t>A17</t>
        </is>
      </c>
      <c r="B19" s="13" t="inlineStr">
        <is>
          <t>电源与安全</t>
        </is>
      </c>
      <c r="C19" s="13" t="inlineStr">
        <is>
          <t>舵机电源</t>
        </is>
      </c>
      <c r="D19" s="13" t="inlineStr">
        <is>
          <t>5V/3A DC-DC 或适配器</t>
        </is>
      </c>
      <c r="E19" s="13" t="inlineStr">
        <is>
          <t>舵机独立供电</t>
        </is>
      </c>
      <c r="F19" s="12" t="n">
        <v>1</v>
      </c>
      <c r="G19" s="14" t="n">
        <v>14</v>
      </c>
      <c r="H19" s="14">
        <f>F19*G19</f>
        <v/>
      </c>
      <c r="I19" s="15" t="inlineStr">
        <is>
          <t>是</t>
        </is>
      </c>
      <c r="J19" s="13" t="inlineStr">
        <is>
          <t>UBEC 5V/3A</t>
        </is>
      </c>
      <c r="K19" s="13" t="inlineStr">
        <is>
          <t>舵机地与 ESP32 共地，电源走线分开</t>
        </is>
      </c>
      <c r="L19" s="13" t="inlineStr">
        <is>
          <t>2026-10 估算/区间中值</t>
        </is>
      </c>
    </row>
    <row r="20">
      <c r="A20" s="12" t="inlineStr">
        <is>
          <t>A18</t>
        </is>
      </c>
      <c r="B20" s="13" t="inlineStr">
        <is>
          <t>电源与安全</t>
        </is>
      </c>
      <c r="C20" s="13" t="inlineStr">
        <is>
          <t>保险丝座+保险丝</t>
        </is>
      </c>
      <c r="D20" s="13" t="inlineStr">
        <is>
          <t>5×20 mm，5A/3A 各 2</t>
        </is>
      </c>
      <c r="E20" s="13" t="inlineStr">
        <is>
          <t>短路保护</t>
        </is>
      </c>
      <c r="F20" s="12" t="n">
        <v>1</v>
      </c>
      <c r="G20" s="14" t="n">
        <v>4</v>
      </c>
      <c r="H20" s="14">
        <f>F20*G20</f>
        <v/>
      </c>
      <c r="I20" s="15" t="inlineStr">
        <is>
          <t>是</t>
        </is>
      </c>
      <c r="J20" s="13" t="inlineStr">
        <is>
          <t>PTC 自恢复保险丝</t>
        </is>
      </c>
      <c r="K20" s="13" t="inlineStr">
        <is>
          <t>装在 12V 进线正极，靠近电源</t>
        </is>
      </c>
      <c r="L20" s="13" t="inlineStr">
        <is>
          <t>2026-10 估算/区间中值</t>
        </is>
      </c>
    </row>
    <row r="21">
      <c r="A21" s="12" t="inlineStr">
        <is>
          <t>A19</t>
        </is>
      </c>
      <c r="B21" s="13" t="inlineStr">
        <is>
          <t>电源与安全</t>
        </is>
      </c>
      <c r="C21" s="13" t="inlineStr">
        <is>
          <t>急停开关</t>
        </is>
      </c>
      <c r="D21" s="13" t="inlineStr">
        <is>
          <t>20 mm 蘑菇头自锁，常闭</t>
        </is>
      </c>
      <c r="E21" s="13" t="inlineStr">
        <is>
          <t>硬件切断电机电源</t>
        </is>
      </c>
      <c r="F21" s="12" t="n">
        <v>1</v>
      </c>
      <c r="G21" s="14" t="n">
        <v>10</v>
      </c>
      <c r="H21" s="14">
        <f>F21*G21</f>
        <v/>
      </c>
      <c r="I21" s="15" t="inlineStr">
        <is>
          <t>是</t>
        </is>
      </c>
      <c r="J21" s="13" t="inlineStr">
        <is>
          <t>船型开关 + 标识</t>
        </is>
      </c>
      <c r="K21" s="13" t="inlineStr">
        <is>
          <t>接 12V 主回路，常闭断开即断电</t>
        </is>
      </c>
      <c r="L21" s="13" t="inlineStr">
        <is>
          <t>2026-10 估算/区间中值</t>
        </is>
      </c>
    </row>
    <row r="22">
      <c r="A22" s="12" t="inlineStr">
        <is>
          <t>A20</t>
        </is>
      </c>
      <c r="B22" s="13" t="inlineStr">
        <is>
          <t>电源与安全</t>
        </is>
      </c>
      <c r="C22" s="13" t="inlineStr">
        <is>
          <t>电源开关 + DC 座</t>
        </is>
      </c>
      <c r="D22" s="13" t="inlineStr">
        <is>
          <t>5.5×2.1 mm + 船型开关</t>
        </is>
      </c>
      <c r="E22" s="13" t="inlineStr">
        <is>
          <t>总开关/外接电源</t>
        </is>
      </c>
      <c r="F22" s="12" t="n">
        <v>1</v>
      </c>
      <c r="G22" s="14" t="n">
        <v>5</v>
      </c>
      <c r="H22" s="14">
        <f>F22*G22</f>
        <v/>
      </c>
      <c r="I22" s="15" t="inlineStr">
        <is>
          <t>是</t>
        </is>
      </c>
      <c r="J22" s="13" t="inlineStr">
        <is>
          <t>XT60</t>
        </is>
      </c>
      <c r="K22" s="13" t="inlineStr">
        <is>
          <t>DC 头规格必须与适配器一致</t>
        </is>
      </c>
      <c r="L22" s="13" t="inlineStr">
        <is>
          <t>2026-10 估算/区间中值</t>
        </is>
      </c>
    </row>
    <row r="23">
      <c r="A23" s="12" t="inlineStr">
        <is>
          <t>A21</t>
        </is>
      </c>
      <c r="B23" s="13" t="inlineStr">
        <is>
          <t>机械结构</t>
        </is>
      </c>
      <c r="C23" s="13" t="inlineStr">
        <is>
          <t>亚克力板</t>
        </is>
      </c>
      <c r="D23" s="13" t="inlineStr">
        <is>
          <t>3 mm 透明/黑色，600×400 mm</t>
        </is>
      </c>
      <c r="E23" s="13" t="inlineStr">
        <is>
          <t>机架、导牌槽、遮光罩</t>
        </is>
      </c>
      <c r="F23" s="12" t="n">
        <v>1</v>
      </c>
      <c r="G23" s="14" t="n">
        <v>28</v>
      </c>
      <c r="H23" s="14">
        <f>F23*G23</f>
        <v/>
      </c>
      <c r="I23" s="15" t="inlineStr">
        <is>
          <t>是</t>
        </is>
      </c>
      <c r="J23" s="13" t="inlineStr">
        <is>
          <t>2020 铝型材（更刚）</t>
        </is>
      </c>
      <c r="K23" s="13" t="inlineStr">
        <is>
          <t>学校激光切割最省；自锯易崩边</t>
        </is>
      </c>
      <c r="L23" s="13" t="inlineStr">
        <is>
          <t>2026-10 估算/区间中值</t>
        </is>
      </c>
    </row>
    <row r="24">
      <c r="A24" s="12" t="inlineStr">
        <is>
          <t>A22</t>
        </is>
      </c>
      <c r="B24" s="13" t="inlineStr">
        <is>
          <t>机械结构</t>
        </is>
      </c>
      <c r="C24" s="13" t="inlineStr">
        <is>
          <t>摩擦轮</t>
        </is>
      </c>
      <c r="D24" s="13" t="inlineStr">
        <is>
          <t>硅胶/橡胶 Φ30–40 mm，轴孔 5 mm</t>
        </is>
      </c>
      <c r="E24" s="13" t="inlineStr">
        <is>
          <t>进牌、分牌</t>
        </is>
      </c>
      <c r="F24" s="12" t="n">
        <v>4</v>
      </c>
      <c r="G24" s="14" t="n">
        <v>6</v>
      </c>
      <c r="H24" s="14">
        <f>F24*G24</f>
        <v/>
      </c>
      <c r="I24" s="15" t="inlineStr">
        <is>
          <t>是</t>
        </is>
      </c>
      <c r="J24" s="13" t="inlineStr">
        <is>
          <t>3D 打印 TPU、旧打印机搓纸轮</t>
        </is>
      </c>
      <c r="K24" s="13" t="inlineStr">
        <is>
          <t>**进牌成败关键件**，硅胶优于硬塑料</t>
        </is>
      </c>
      <c r="L24" s="13" t="inlineStr">
        <is>
          <t>2026-10 估算/区间中值</t>
        </is>
      </c>
    </row>
    <row r="25">
      <c r="A25" s="12" t="inlineStr">
        <is>
          <t>A23</t>
        </is>
      </c>
      <c r="B25" s="13" t="inlineStr">
        <is>
          <t>机械结构</t>
        </is>
      </c>
      <c r="C25" s="13" t="inlineStr">
        <is>
          <t>轴承</t>
        </is>
      </c>
      <c r="D25" s="13" t="inlineStr">
        <is>
          <t>608ZZ（8×22×7）</t>
        </is>
      </c>
      <c r="E25" s="13" t="inlineStr">
        <is>
          <t>传动轴支撑</t>
        </is>
      </c>
      <c r="F25" s="12" t="n">
        <v>8</v>
      </c>
      <c r="G25" s="14" t="n">
        <v>1.2</v>
      </c>
      <c r="H25" s="14">
        <f>F25*G25</f>
        <v/>
      </c>
      <c r="I25" s="15" t="inlineStr">
        <is>
          <t>是</t>
        </is>
      </c>
      <c r="J25" s="13" t="inlineStr">
        <is>
          <t>625ZZ、法兰轴承</t>
        </is>
      </c>
      <c r="K25" s="13" t="inlineStr">
        <is>
          <t>与轴径/座孔匹配</t>
        </is>
      </c>
      <c r="L25" s="13" t="inlineStr">
        <is>
          <t>2026-10 估算/区间中值</t>
        </is>
      </c>
    </row>
    <row r="26">
      <c r="A26" s="12" t="inlineStr">
        <is>
          <t>A24</t>
        </is>
      </c>
      <c r="B26" s="13" t="inlineStr">
        <is>
          <t>机械结构</t>
        </is>
      </c>
      <c r="C26" s="13" t="inlineStr">
        <is>
          <t>光轴</t>
        </is>
      </c>
      <c r="D26" s="13" t="inlineStr">
        <is>
          <t>Φ5/Φ8 mm，200–300 mm</t>
        </is>
      </c>
      <c r="E26" s="13" t="inlineStr">
        <is>
          <t>滚轮轴/导向轴</t>
        </is>
      </c>
      <c r="F26" s="12" t="n">
        <v>4</v>
      </c>
      <c r="G26" s="14" t="n">
        <v>3</v>
      </c>
      <c r="H26" s="14">
        <f>F26*G26</f>
        <v/>
      </c>
      <c r="I26" s="15" t="inlineStr">
        <is>
          <t>是</t>
        </is>
      </c>
      <c r="J26" s="13" t="inlineStr">
        <is>
          <t>不锈钢管</t>
        </is>
      </c>
      <c r="K26" s="13" t="inlineStr">
        <is>
          <t>与轴承内径、联轴器孔径一致</t>
        </is>
      </c>
      <c r="L26" s="13" t="inlineStr">
        <is>
          <t>2026-10 估算/区间中值</t>
        </is>
      </c>
    </row>
    <row r="27">
      <c r="A27" s="12" t="inlineStr">
        <is>
          <t>A25</t>
        </is>
      </c>
      <c r="B27" s="13" t="inlineStr">
        <is>
          <t>机械结构</t>
        </is>
      </c>
      <c r="C27" s="13" t="inlineStr">
        <is>
          <t>联轴器</t>
        </is>
      </c>
      <c r="D27" s="13" t="inlineStr">
        <is>
          <t>5×8 或 5×5 刚性/弹性</t>
        </is>
      </c>
      <c r="E27" s="13" t="inlineStr">
        <is>
          <t>电机→传动轴</t>
        </is>
      </c>
      <c r="F27" s="12" t="n">
        <v>2</v>
      </c>
      <c r="G27" s="14" t="n">
        <v>6</v>
      </c>
      <c r="H27" s="14">
        <f>F27*G27</f>
        <v/>
      </c>
      <c r="I27" s="15" t="inlineStr">
        <is>
          <t>是</t>
        </is>
      </c>
      <c r="J27" s="13" t="inlineStr">
        <is>
          <t>3D 打印联轴器（低扭矩）</t>
        </is>
      </c>
      <c r="K27" s="13" t="inlineStr">
        <is>
          <t>注意 D 型轴/圆轴</t>
        </is>
      </c>
      <c r="L27" s="13" t="inlineStr">
        <is>
          <t>2026-10 估算/区间中值</t>
        </is>
      </c>
    </row>
    <row r="28">
      <c r="A28" s="12" t="inlineStr">
        <is>
          <t>A26</t>
        </is>
      </c>
      <c r="B28" s="13" t="inlineStr">
        <is>
          <t>机械结构</t>
        </is>
      </c>
      <c r="C28" s="13" t="inlineStr">
        <is>
          <t>同步带+带轮</t>
        </is>
      </c>
      <c r="D28" s="13" t="inlineStr">
        <is>
          <t>GT2，6 mm 宽，20 齿</t>
        </is>
      </c>
      <c r="E28" s="13" t="inlineStr">
        <is>
          <t>远距离传动</t>
        </is>
      </c>
      <c r="F28" s="12" t="n">
        <v>1</v>
      </c>
      <c r="G28" s="14" t="n">
        <v>16</v>
      </c>
      <c r="H28" s="14">
        <f>F28*G28</f>
        <v/>
      </c>
      <c r="I28" s="15" t="inlineStr">
        <is>
          <t>是</t>
        </is>
      </c>
      <c r="J28" s="13" t="inlineStr">
        <is>
          <t>齿轮/连杆</t>
        </is>
      </c>
      <c r="K28" s="13" t="inlineStr">
        <is>
          <t>按中心距买闭环带</t>
        </is>
      </c>
      <c r="L28" s="13" t="inlineStr">
        <is>
          <t>2026-10 估算/区间中值</t>
        </is>
      </c>
    </row>
    <row r="29">
      <c r="A29" s="12" t="inlineStr">
        <is>
          <t>A27</t>
        </is>
      </c>
      <c r="B29" s="13" t="inlineStr">
        <is>
          <t>机械结构</t>
        </is>
      </c>
      <c r="C29" s="13" t="inlineStr">
        <is>
          <t>M3 螺丝套装</t>
        </is>
      </c>
      <c r="D29" s="13" t="inlineStr">
        <is>
          <t>M3×6/8/12/16/20 + 螺母垫片</t>
        </is>
      </c>
      <c r="E29" s="13" t="inlineStr">
        <is>
          <t>装配</t>
        </is>
      </c>
      <c r="F29" s="12" t="n">
        <v>1</v>
      </c>
      <c r="G29" s="14" t="n">
        <v>20</v>
      </c>
      <c r="H29" s="14">
        <f>F29*G29</f>
        <v/>
      </c>
      <c r="I29" s="15" t="inlineStr">
        <is>
          <t>是</t>
        </is>
      </c>
      <c r="J29" s="13" t="inlineStr">
        <is>
          <t>M4 套装</t>
        </is>
      </c>
      <c r="K29" s="13" t="inlineStr">
        <is>
          <t>多买，3D 打印返工最耗螺丝</t>
        </is>
      </c>
      <c r="L29" s="13" t="inlineStr">
        <is>
          <t>2026-10 估算/区间中值</t>
        </is>
      </c>
    </row>
    <row r="30">
      <c r="A30" s="12" t="inlineStr">
        <is>
          <t>A28</t>
        </is>
      </c>
      <c r="B30" s="13" t="inlineStr">
        <is>
          <t>机械结构</t>
        </is>
      </c>
      <c r="C30" s="13" t="inlineStr">
        <is>
          <t>热熔铜螺母</t>
        </is>
      </c>
      <c r="D30" s="13" t="inlineStr">
        <is>
          <t>M3×5×4.2，100 只</t>
        </is>
      </c>
      <c r="E30" s="13" t="inlineStr">
        <is>
          <t>3D 打印件螺纹</t>
        </is>
      </c>
      <c r="F30" s="12" t="n">
        <v>1</v>
      </c>
      <c r="G30" s="14" t="n">
        <v>8</v>
      </c>
      <c r="H30" s="14">
        <f>F30*G30</f>
        <v/>
      </c>
      <c r="I30" s="15" t="inlineStr">
        <is>
          <t>是</t>
        </is>
      </c>
      <c r="J30" s="13" t="inlineStr">
        <is>
          <t>自攻螺丝（易滑牙）</t>
        </is>
      </c>
      <c r="K30" s="13" t="inlineStr">
        <is>
          <t>电烙铁 220–250 ℃ 压入</t>
        </is>
      </c>
      <c r="L30" s="13" t="inlineStr">
        <is>
          <t>2026-10 估算/区间中值</t>
        </is>
      </c>
    </row>
    <row r="31">
      <c r="A31" s="12" t="inlineStr">
        <is>
          <t>A29</t>
        </is>
      </c>
      <c r="B31" s="13" t="inlineStr">
        <is>
          <t>3D 打印与耗材</t>
        </is>
      </c>
      <c r="C31" s="13" t="inlineStr">
        <is>
          <t>PLA 耗材</t>
        </is>
      </c>
      <c r="D31" s="13" t="inlineStr">
        <is>
          <t>1.75 mm，1 kg</t>
        </is>
      </c>
      <c r="E31" s="13" t="inlineStr">
        <is>
          <t>结构件/支架/导槽</t>
        </is>
      </c>
      <c r="F31" s="12" t="n">
        <v>1</v>
      </c>
      <c r="G31" s="14" t="n">
        <v>60</v>
      </c>
      <c r="H31" s="14">
        <f>F31*G31</f>
        <v/>
      </c>
      <c r="I31" s="15" t="inlineStr">
        <is>
          <t>是</t>
        </is>
      </c>
      <c r="J31" s="13" t="inlineStr">
        <is>
          <t>实验室耗材（可省）</t>
        </is>
      </c>
      <c r="K31" s="13" t="inlineStr">
        <is>
          <t>牌面反光强时用黑色哑光；PETG 可选（约 45 元，用余量购买）</t>
        </is>
      </c>
      <c r="L31" s="13" t="inlineStr">
        <is>
          <t>2026-10 估算/区间中值</t>
        </is>
      </c>
    </row>
    <row r="32">
      <c r="A32" s="12" t="inlineStr">
        <is>
          <t>B01</t>
        </is>
      </c>
      <c r="B32" s="13" t="inlineStr">
        <is>
          <t>3D 打印与耗材</t>
        </is>
      </c>
      <c r="C32" s="13" t="inlineStr">
        <is>
          <t>PETG 耗材（可选）</t>
        </is>
      </c>
      <c r="D32" s="13" t="inlineStr">
        <is>
          <t>1.75 mm，500 g</t>
        </is>
      </c>
      <c r="E32" s="13" t="inlineStr">
        <is>
          <t>耐磨件/导轨</t>
        </is>
      </c>
      <c r="F32" s="12" t="n">
        <v>1</v>
      </c>
      <c r="G32" s="14" t="n">
        <v>45</v>
      </c>
      <c r="H32" s="14">
        <f>F32*G32</f>
        <v/>
      </c>
      <c r="I32" s="16" t="inlineStr">
        <is>
          <t>可选</t>
        </is>
      </c>
      <c r="J32" s="13" t="inlineStr">
        <is>
          <t>全 PLA（寿命短）</t>
        </is>
      </c>
      <c r="K32" s="13" t="inlineStr">
        <is>
          <t>**不计入合计**；用余量或实验室耗材，PLA 长期受力会蠕变</t>
        </is>
      </c>
      <c r="L32" s="13" t="inlineStr">
        <is>
          <t>2026-10 估算/区间中值</t>
        </is>
      </c>
    </row>
    <row r="33">
      <c r="A33" s="12" t="inlineStr">
        <is>
          <t>A30</t>
        </is>
      </c>
      <c r="B33" s="13" t="inlineStr">
        <is>
          <t>电气辅材</t>
        </is>
      </c>
      <c r="C33" s="13" t="inlineStr">
        <is>
          <t>继电器模块</t>
        </is>
      </c>
      <c r="D33" s="13" t="inlineStr">
        <is>
          <t>2 路 5V，光耦隔离，带续流</t>
        </is>
      </c>
      <c r="E33" s="13" t="inlineStr">
        <is>
          <t>控制 12V 负载</t>
        </is>
      </c>
      <c r="F33" s="12" t="n">
        <v>1</v>
      </c>
      <c r="G33" s="14" t="n">
        <v>8</v>
      </c>
      <c r="H33" s="14">
        <f>F33*G33</f>
        <v/>
      </c>
      <c r="I33" s="15" t="inlineStr">
        <is>
          <t>是</t>
        </is>
      </c>
      <c r="J33" s="13" t="inlineStr">
        <is>
          <t>MOSFET 模块</t>
        </is>
      </c>
      <c r="K33" s="13" t="inlineStr">
        <is>
          <t>线圈加续流二极管，否则易复位</t>
        </is>
      </c>
      <c r="L33" s="13" t="inlineStr">
        <is>
          <t>2026-10 估算/区间中值</t>
        </is>
      </c>
    </row>
    <row r="34">
      <c r="A34" s="12" t="inlineStr">
        <is>
          <t>A31</t>
        </is>
      </c>
      <c r="B34" s="13" t="inlineStr">
        <is>
          <t>电气辅材</t>
        </is>
      </c>
      <c r="C34" s="13" t="inlineStr">
        <is>
          <t>洞洞板</t>
        </is>
      </c>
      <c r="D34" s="13" t="inlineStr">
        <is>
          <t>5×7 / 7×9 cm</t>
        </is>
      </c>
      <c r="E34" s="13" t="inlineStr">
        <is>
          <t>电平转换/接线</t>
        </is>
      </c>
      <c r="F34" s="12" t="n">
        <v>2</v>
      </c>
      <c r="G34" s="14" t="n">
        <v>2</v>
      </c>
      <c r="H34" s="14">
        <f>F34*G34</f>
        <v/>
      </c>
      <c r="I34" s="15" t="inlineStr">
        <is>
          <t>是</t>
        </is>
      </c>
      <c r="J34" s="13" t="inlineStr">
        <is>
          <t>面包板（仅调试）</t>
        </is>
      </c>
      <c r="K34" s="13" t="inlineStr">
        <is>
          <t>最终版焊死</t>
        </is>
      </c>
      <c r="L34" s="13" t="inlineStr">
        <is>
          <t>2026-10 估算/区间中值</t>
        </is>
      </c>
    </row>
    <row r="35">
      <c r="A35" s="12" t="inlineStr">
        <is>
          <t>A32</t>
        </is>
      </c>
      <c r="B35" s="13" t="inlineStr">
        <is>
          <t>电气辅材</t>
        </is>
      </c>
      <c r="C35" s="13" t="inlineStr">
        <is>
          <t>杜邦线</t>
        </is>
      </c>
      <c r="D35" s="13" t="inlineStr">
        <is>
          <t>公对母/母对母/公对公，20 cm 各 40</t>
        </is>
      </c>
      <c r="E35" s="13" t="inlineStr">
        <is>
          <t>传感器/舵机接线</t>
        </is>
      </c>
      <c r="F35" s="12" t="n">
        <v>1</v>
      </c>
      <c r="G35" s="14" t="n">
        <v>12</v>
      </c>
      <c r="H35" s="14">
        <f>F35*G35</f>
        <v/>
      </c>
      <c r="I35" s="15" t="inlineStr">
        <is>
          <t>是</t>
        </is>
      </c>
      <c r="J35" s="13" t="inlineStr">
        <is>
          <t>端子线 + 压线钳</t>
        </is>
      </c>
      <c r="K35" s="13" t="inlineStr">
        <is>
          <t>电机线不要用杜邦线</t>
        </is>
      </c>
      <c r="L35" s="13" t="inlineStr">
        <is>
          <t>2026-10 估算/区间中值</t>
        </is>
      </c>
    </row>
    <row r="36">
      <c r="A36" s="12" t="inlineStr">
        <is>
          <t>A33</t>
        </is>
      </c>
      <c r="B36" s="13" t="inlineStr">
        <is>
          <t>电气辅材</t>
        </is>
      </c>
      <c r="C36" s="13" t="inlineStr">
        <is>
          <t>接线端子</t>
        </is>
      </c>
      <c r="D36" s="13" t="inlineStr">
        <is>
          <t>5.08 mm 插拔 + 冷压端子</t>
        </is>
      </c>
      <c r="E36" s="13" t="inlineStr">
        <is>
          <t>电源/电机接线</t>
        </is>
      </c>
      <c r="F36" s="12" t="n">
        <v>1</v>
      </c>
      <c r="G36" s="14" t="n">
        <v>6</v>
      </c>
      <c r="H36" s="14">
        <f>F36*G36</f>
        <v/>
      </c>
      <c r="I36" s="15" t="inlineStr">
        <is>
          <t>是</t>
        </is>
      </c>
      <c r="J36" s="13" t="inlineStr">
        <is>
          <t>WAGO</t>
        </is>
      </c>
      <c r="K36" s="13" t="inlineStr">
        <is>
          <t>螺丝端子必须压紧</t>
        </is>
      </c>
      <c r="L36" s="13" t="inlineStr">
        <is>
          <t>2026-10 估算/区间中值</t>
        </is>
      </c>
    </row>
    <row r="37">
      <c r="A37" s="12" t="inlineStr">
        <is>
          <t>A34</t>
        </is>
      </c>
      <c r="B37" s="13" t="inlineStr">
        <is>
          <t>电气辅材</t>
        </is>
      </c>
      <c r="C37" s="13" t="inlineStr">
        <is>
          <t>扎带/热缩管/缠绕管</t>
        </is>
      </c>
      <c r="D37" s="13" t="inlineStr">
        <is>
          <t>各 1 包</t>
        </is>
      </c>
      <c r="E37" s="13" t="inlineStr">
        <is>
          <t>走线/绝缘</t>
        </is>
      </c>
      <c r="F37" s="12" t="n">
        <v>1</v>
      </c>
      <c r="G37" s="14" t="n">
        <v>6</v>
      </c>
      <c r="H37" s="14">
        <f>F37*G37</f>
        <v/>
      </c>
      <c r="I37" s="15" t="inlineStr">
        <is>
          <t>是</t>
        </is>
      </c>
      <c r="J37" s="13" t="inlineStr">
        <is>
          <t>电工胶带</t>
        </is>
      </c>
      <c r="K37" s="13" t="inlineStr">
        <is>
          <t>电机线与信号线分开</t>
        </is>
      </c>
      <c r="L37" s="13" t="inlineStr">
        <is>
          <t>2026-10 估算/区间中值</t>
        </is>
      </c>
    </row>
    <row r="38">
      <c r="A38" s="12" t="inlineStr">
        <is>
          <t>A35</t>
        </is>
      </c>
      <c r="B38" s="13" t="inlineStr">
        <is>
          <t>电气辅材</t>
        </is>
      </c>
      <c r="C38" s="13" t="inlineStr">
        <is>
          <t>逻辑电平转换</t>
        </is>
      </c>
      <c r="D38" s="13" t="inlineStr">
        <is>
          <t>**8 路**双向（TXB0108/BSS138×8）或电阻分压</t>
        </is>
      </c>
      <c r="E38" s="13" t="inlineStr">
        <is>
          <t>5V 传感器→3.3V</t>
        </is>
      </c>
      <c r="F38" s="12" t="n">
        <v>1</v>
      </c>
      <c r="G38" s="14" t="n">
        <v>6</v>
      </c>
      <c r="H38" s="14">
        <f>F38*G38</f>
        <v/>
      </c>
      <c r="I38" s="15" t="inlineStr">
        <is>
          <t>是</t>
        </is>
      </c>
      <c r="J38" s="13" t="inlineStr">
        <is>
          <t>4 路模块 + 分压电阻补足</t>
        </is>
      </c>
      <c r="K38" s="13" t="inlineStr">
        <is>
          <t>本项目 5V 输入约 7 路（TCRT5000×4、槽型×2、对射×1），4 路不够</t>
        </is>
      </c>
      <c r="L38" s="13" t="inlineStr">
        <is>
          <t>2026-10 估算/区间中值</t>
        </is>
      </c>
    </row>
    <row r="39">
      <c r="A39" s="12" t="inlineStr">
        <is>
          <t>A36</t>
        </is>
      </c>
      <c r="B39" s="13" t="inlineStr">
        <is>
          <t>电气辅材</t>
        </is>
      </c>
      <c r="C39" s="13" t="inlineStr">
        <is>
          <t>光耦隔离模块</t>
        </is>
      </c>
      <c r="D39" s="13" t="inlineStr">
        <is>
          <t>817 光耦 2–4 路</t>
        </is>
      </c>
      <c r="E39" s="13" t="inlineStr">
        <is>
          <t>电机信号隔离</t>
        </is>
      </c>
      <c r="F39" s="12" t="n">
        <v>1</v>
      </c>
      <c r="G39" s="14" t="n">
        <v>6</v>
      </c>
      <c r="H39" s="14">
        <f>F39*G39</f>
        <v/>
      </c>
      <c r="I39" s="15" t="inlineStr">
        <is>
          <t>是</t>
        </is>
      </c>
      <c r="J39" s="13" t="inlineStr">
        <is>
          <t>磁珠+电容</t>
        </is>
      </c>
      <c r="K39" s="13" t="inlineStr">
        <is>
          <t>脉冲频率 &gt;20 kHz 时不宜用光耦</t>
        </is>
      </c>
      <c r="L39" s="13" t="inlineStr">
        <is>
          <t>2026-10 估算/区间中值</t>
        </is>
      </c>
    </row>
    <row r="40">
      <c r="A40" s="12" t="inlineStr">
        <is>
          <t>A37</t>
        </is>
      </c>
      <c r="B40" s="13" t="inlineStr">
        <is>
          <t>标定与测试耗材</t>
        </is>
      </c>
      <c r="C40" s="13" t="inlineStr">
        <is>
          <t>棋盘格标定板</t>
        </is>
      </c>
      <c r="D40" s="13" t="inlineStr">
        <is>
          <t>9×6 格，方格 20–25 mm</t>
        </is>
      </c>
      <c r="E40" s="13" t="inlineStr">
        <is>
          <t>相机内参/畸变标定</t>
        </is>
      </c>
      <c r="F40" s="12" t="n">
        <v>1</v>
      </c>
      <c r="G40" s="14" t="n">
        <v>10</v>
      </c>
      <c r="H40" s="14">
        <f>F40*G40</f>
        <v/>
      </c>
      <c r="I40" s="15" t="inlineStr">
        <is>
          <t>是</t>
        </is>
      </c>
      <c r="J40" s="13" t="inlineStr">
        <is>
          <t>激光打印后贴平板（免费）</t>
        </is>
      </c>
      <c r="K40" s="13" t="inlineStr">
        <is>
          <t>必须贴平，否则标定误差大</t>
        </is>
      </c>
      <c r="L40" s="13" t="inlineStr">
        <is>
          <t>2026-10 估算/区间中值</t>
        </is>
      </c>
    </row>
    <row r="41">
      <c r="A41" s="12" t="inlineStr">
        <is>
          <t>A38</t>
        </is>
      </c>
      <c r="B41" s="13" t="inlineStr">
        <is>
          <t>标定与测试耗材</t>
        </is>
      </c>
      <c r="C41" s="13" t="inlineStr">
        <is>
          <t>遮光材料</t>
        </is>
      </c>
      <c r="D41" s="13" t="inlineStr">
        <is>
          <t>黑色植绒布/黑卡纸 1 m²</t>
        </is>
      </c>
      <c r="E41" s="13" t="inlineStr">
        <is>
          <t>隔离环境光</t>
        </is>
      </c>
      <c r="F41" s="12" t="n">
        <v>1</v>
      </c>
      <c r="G41" s="14" t="n">
        <v>14</v>
      </c>
      <c r="H41" s="14">
        <f>F41*G41</f>
        <v/>
      </c>
      <c r="I41" s="15" t="inlineStr">
        <is>
          <t>是</t>
        </is>
      </c>
      <c r="J41" s="13" t="inlineStr">
        <is>
          <t>纸箱 + 黑胶带（免费）</t>
        </is>
      </c>
      <c r="K41" s="13" t="inlineStr">
        <is>
          <t>提升识别率最便宜的手段</t>
        </is>
      </c>
      <c r="L41" s="13" t="inlineStr">
        <is>
          <t>2026-10 估算/区间中值</t>
        </is>
      </c>
    </row>
    <row r="42">
      <c r="A42" s="12" t="inlineStr">
        <is>
          <t>A39</t>
        </is>
      </c>
      <c r="B42" s="13" t="inlineStr">
        <is>
          <t>标定与测试耗材</t>
        </is>
      </c>
      <c r="C42" s="13" t="inlineStr">
        <is>
          <t>LED 灯条 + 柔光板</t>
        </is>
      </c>
      <c r="D42" s="13" t="inlineStr">
        <is>
          <t>12V 5730/2835，暖白/正白，带调光；乳白扩散板</t>
        </is>
      </c>
      <c r="E42" s="13" t="inlineStr">
        <is>
          <t>上下两侧漫射补光</t>
        </is>
      </c>
      <c r="F42" s="12" t="n">
        <v>1</v>
      </c>
      <c r="G42" s="14" t="n">
        <v>18</v>
      </c>
      <c r="H42" s="14">
        <f>F42*G42</f>
        <v/>
      </c>
      <c r="I42" s="15" t="inlineStr">
        <is>
          <t>是</t>
        </is>
      </c>
      <c r="J42" s="13" t="inlineStr">
        <is>
          <t>台灯 + 柔光纸（0 元）、环形灯</t>
        </is>
      </c>
      <c r="K42" s="13" t="inlineStr">
        <is>
          <t>**必须柔光**，否则牌面高光过曝；上下分时点亮</t>
        </is>
      </c>
      <c r="L42" s="13" t="inlineStr">
        <is>
          <t>2026-10 估算/区间中值</t>
        </is>
      </c>
    </row>
    <row r="43">
      <c r="A43" s="12" t="inlineStr">
        <is>
          <t>A40</t>
        </is>
      </c>
      <c r="B43" s="13" t="inlineStr">
        <is>
          <t>标定与测试耗材</t>
        </is>
      </c>
      <c r="C43" s="13" t="inlineStr">
        <is>
          <t>测试用扑克牌</t>
        </is>
      </c>
      <c r="D43" s="13" t="inlineStr">
        <is>
          <t>**5 副**：3 个训练品牌 ×1 + 1 个留出品牌 ×1 + 1 副同品牌第二副（H3 用）</t>
        </is>
      </c>
      <c r="E43" s="13" t="inlineStr">
        <is>
          <t>训练、跨品牌测试、同副预研、异常测试</t>
        </is>
      </c>
      <c r="F43" s="12" t="n">
        <v>5</v>
      </c>
      <c r="G43" s="14" t="n">
        <v>10</v>
      </c>
      <c r="H43" s="14">
        <f>F43*G43</f>
        <v/>
      </c>
      <c r="I43" s="15" t="inlineStr">
        <is>
          <t>是</t>
        </is>
      </c>
      <c r="J43" s="13" t="inlineStr">
        <is>
          <t>借用/同学自带（可省）</t>
        </is>
      </c>
      <c r="K43" s="13" t="inlineStr">
        <is>
          <t>至少 3 个训练品牌 + 1 个留出品牌；同品牌第二副尽量同批次，保留包装</t>
        </is>
      </c>
      <c r="L43" s="13" t="inlineStr">
        <is>
          <t>2026-10 估算/区间中值</t>
        </is>
      </c>
    </row>
    <row r="44">
      <c r="A44" s="12" t="inlineStr">
        <is>
          <t>A41</t>
        </is>
      </c>
      <c r="B44" s="13" t="inlineStr">
        <is>
          <t>标定与测试耗材</t>
        </is>
      </c>
      <c r="C44" s="13" t="inlineStr">
        <is>
          <t>6 mm M12 镜头</t>
        </is>
      </c>
      <c r="D44" s="13" t="inlineStr">
        <is>
          <t>焦距 6 mm，M12 接口，匹配相机靶面</t>
        </is>
      </c>
      <c r="E44" s="13" t="inlineStr">
        <is>
          <t>把 FOV 调到约 180×101 mm、WD≈184 mm</t>
        </is>
      </c>
      <c r="F44" s="12" t="n">
        <v>2</v>
      </c>
      <c r="G44" s="14" t="n">
        <v>20</v>
      </c>
      <c r="H44" s="14">
        <f>F44*G44</f>
        <v/>
      </c>
      <c r="I44" s="15" t="inlineStr">
        <is>
          <t>是</t>
        </is>
      </c>
      <c r="J44" s="13" t="inlineStr">
        <is>
          <t>相机自带 6 mm 镜头（可省）、5MP 模组</t>
        </is>
      </c>
      <c r="K44" s="13" t="inlineStr">
        <is>
          <t>先确认相机可换镜头；原配 2.9 mm 广角不满足视场/畸变要求</t>
        </is>
      </c>
      <c r="L44" s="13" t="inlineStr">
        <is>
          <t>2026-10 估算/区间中值</t>
        </is>
      </c>
    </row>
    <row r="45">
      <c r="A45" s="12" t="inlineStr">
        <is>
          <t>A42</t>
        </is>
      </c>
      <c r="B45" s="13" t="inlineStr">
        <is>
          <t>标定与测试耗材</t>
        </is>
      </c>
      <c r="C45" s="13" t="inlineStr">
        <is>
          <t>分离垫/弹簧/压平弹片/灰卡</t>
        </is>
      </c>
      <c r="D45" s="13" t="inlineStr">
        <is>
          <t>EPDM 或硅胶垫 8×12×2 mm、压簧 0.2 N/mm、0.5 mm PET 片、18% 灰卡</t>
        </is>
      </c>
      <c r="E45" s="13" t="inlineStr">
        <is>
          <t>单张分离、压板补偿、压平、白平衡</t>
        </is>
      </c>
      <c r="F45" s="12" t="n">
        <v>1</v>
      </c>
      <c r="G45" s="14" t="n">
        <v>20</v>
      </c>
      <c r="H45" s="14">
        <f>F45*G45</f>
        <v/>
      </c>
      <c r="I45" s="15" t="inlineStr">
        <is>
          <t>是</t>
        </is>
      </c>
      <c r="J45" s="13" t="inlineStr">
        <is>
          <t>旧打印机搓纸轮/实验室材料（可省）</t>
        </is>
      </c>
      <c r="K45" s="13" t="inlineStr">
        <is>
          <t>分离垫是易耗件，多备 2 片；灰卡可用白纸 + 手动白平衡替代</t>
        </is>
      </c>
      <c r="L45" s="13" t="inlineStr">
        <is>
          <t>2026-10 估算/区间中值</t>
        </is>
      </c>
    </row>
    <row r="46">
      <c r="E46" s="17" t="inlineStr">
        <is>
          <t>合计（自动求和）</t>
        </is>
      </c>
      <c r="F46" s="18" t="n"/>
      <c r="G46" s="18" t="n"/>
      <c r="H46" s="19">
        <f>SUM(H3:H45)</f>
        <v/>
      </c>
    </row>
  </sheetData>
  <autoFilter ref="A2:L45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</cols>
  <sheetData>
    <row r="2">
      <c r="A2" s="20" t="inlineStr">
        <is>
          <t>渠道</t>
        </is>
      </c>
      <c r="B2" s="20" t="inlineStr">
        <is>
          <t>建议采购内容</t>
        </is>
      </c>
      <c r="C2" s="20" t="inlineStr">
        <is>
          <t>注意事项</t>
        </is>
      </c>
    </row>
    <row r="3">
      <c r="A3" s="21" t="inlineStr">
        <is>
          <t>淘宝 / 天猫</t>
        </is>
      </c>
      <c r="B3" s="21" t="inlineStr">
        <is>
          <t>相机、HUB、电机、驱动、舵机、传感器、机械件、耗材</t>
        </is>
      </c>
      <c r="C3" s="21" t="inlineStr">
        <is>
          <t>虚标/翻新集中地；选企业店，看差评，留发票</t>
        </is>
      </c>
    </row>
    <row r="4">
      <c r="A4" s="21" t="inlineStr">
        <is>
          <t>京东自营</t>
        </is>
      </c>
      <c r="B4" s="21" t="inlineStr">
        <is>
          <t>电源、急停、工具、螺丝（急件）</t>
        </is>
      </c>
      <c r="C4" s="21" t="inlineStr">
        <is>
          <t>贵 10–30%，可退换，安全件优先</t>
        </is>
      </c>
    </row>
    <row r="5">
      <c r="A5" s="21" t="inlineStr">
        <is>
          <t>立创商城</t>
        </is>
      </c>
      <c r="B5" s="21" t="inlineStr">
        <is>
          <t>驱动芯片、光耦、电平转换、接插件</t>
        </is>
      </c>
      <c r="C5" s="21" t="inlineStr">
        <is>
          <t>价格需登录/商品编号核对；注意现货</t>
        </is>
      </c>
    </row>
    <row r="6">
      <c r="A6" s="21" t="inlineStr">
        <is>
          <t>微雪 / DFRobot</t>
        </is>
      </c>
      <c r="B6" s="21" t="inlineStr">
        <is>
          <t>ESP32-S3 开发板、相机模组</t>
        </is>
      </c>
      <c r="C6" s="21" t="inlineStr">
        <is>
          <t>原厂正品但溢价；国内天猫店另计价</t>
        </is>
      </c>
    </row>
    <row r="7">
      <c r="A7" s="21" t="inlineStr">
        <is>
          <t>学校 / 实验室</t>
        </is>
      </c>
      <c r="B7" s="21" t="inlineStr">
        <is>
          <t>3D 打印、激光切割、亚克力、螺丝、工具</t>
        </is>
      </c>
      <c r="C7" s="21" t="inlineStr">
        <is>
          <t>提前预约；打印排队 1–3 天</t>
        </is>
      </c>
    </row>
    <row r="8">
      <c r="A8" s="21" t="inlineStr">
        <is>
          <t>1688 / 拼多多</t>
        </is>
      </c>
      <c r="B8" s="21" t="inlineStr">
        <is>
          <t>螺丝、扎带、热缩管等低值耗材</t>
        </is>
      </c>
      <c r="C8" s="21" t="inlineStr">
        <is>
          <t>质量参差；不建议买电机/电源/相机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价格说明与使用限制</t>
        </is>
      </c>
    </row>
    <row r="2">
      <c r="A2" s="23" t="inlineStr"/>
    </row>
    <row r="3">
      <c r="A3" s="23" t="inlineStr">
        <is>
          <t>1. 所有价格均为 2026-10-19（Asia/Shanghai）检索的估算/区间中值，单位为人民币元。</t>
        </is>
      </c>
    </row>
    <row r="4">
      <c r="A4" s="23" t="inlineStr">
        <is>
          <t>2. 淘宝/京东商品页普遍反爬（JS 渲染/需登录），本表无法逐项取得实时到手价；正式采购前必须由采购人复核。</t>
        </is>
      </c>
    </row>
    <row r="5">
      <c r="A5" s="23" t="inlineStr">
        <is>
          <t>3. 官方规格类信息（ESP32-S3 GPIO/PSRAM、OV2640 分辨率、OpenCV 属性、树莓派价格）来自官方文档/官方新闻，链接见报告附录。</t>
        </is>
      </c>
    </row>
    <row r="6">
      <c r="A6" s="23" t="inlineStr">
        <is>
          <t>4. 本表不构成报价承诺；实际支出以采购发票为准。</t>
        </is>
      </c>
    </row>
    <row r="7">
      <c r="A7" s="23" t="inlineStr">
        <is>
          <t>5. 必需项合计约 836 元 + 12% 余量 100 元 + 备件 20 元 = 约 956 元；预算 1000 元，余量约 44 元。</t>
        </is>
      </c>
    </row>
    <row r="8">
      <c r="A8" s="23" t="inlineStr">
        <is>
          <t>6. PETG（45 元）标为可选，不计入；快递费、激光切割加工费、工具通常另计或由实验室提供。</t>
        </is>
      </c>
    </row>
    <row r="9">
      <c r="A9" s="23" t="inlineStr"/>
    </row>
    <row r="10">
      <c r="A10" s="23" t="inlineStr">
        <is>
          <t>相关来源：</t>
        </is>
      </c>
    </row>
    <row r="11">
      <c r="A11" s="23" t="inlineStr">
        <is>
          <t>• Raspberry Pi 官方新闻（2026-10-01 涨价）: https://www.raspberrypi.com/news/price-increases-for-2gb-raspberry-pi-4-and-raspberry-pi-5/</t>
        </is>
      </c>
    </row>
    <row r="12">
      <c r="A12" s="23" t="inlineStr">
        <is>
          <t>• espressif/esp32-camera（OV2640 规格/PSRAM）: https://github.com/espressif/esp32-camera</t>
        </is>
      </c>
    </row>
    <row r="13">
      <c r="A13" s="23" t="inlineStr">
        <is>
          <t>• OpenCV VideoCapture 文档: https://docs.opencv.org/4.x/d8/dfe/classcv_1_1VideoCapture.html</t>
        </is>
      </c>
    </row>
    <row r="14">
      <c r="A14" s="23" t="inlineStr">
        <is>
          <t>• pySerial 文档: https://pyserial.readthedocs.io/en/latest/shortintro.html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2026-10-19T05:41:52Z</dcterms:created>
  <dcterms:modified xmlns:dcterms="http://purl.org/dc/terms/" xmlns:xsi="http://www.w3.org/2001/XMLSchema-instance" xsi:type="dcterms:W3CDTF">2026-10-19T05:41:52Z</dcterms:modified>
</cp:coreProperties>
</file>